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1. MY DRIVE\BoS_BOARD OF STUDIES\0. 2025-26\BoS_2025_26_Doc Submission\MCA_BoS_2025_26\"/>
    </mc:Choice>
  </mc:AlternateContent>
  <xr:revisionPtr revIDLastSave="0" documentId="13_ncr:1_{C897BF83-BDE8-4648-BD22-6DBF2205DD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1" l="1"/>
  <c r="L66" i="1"/>
  <c r="L27" i="1" l="1"/>
  <c r="L57" i="1"/>
</calcChain>
</file>

<file path=xl/sharedStrings.xml><?xml version="1.0" encoding="utf-8"?>
<sst xmlns="http://schemas.openxmlformats.org/spreadsheetml/2006/main" count="200" uniqueCount="108">
  <si>
    <t>Sl. No.</t>
  </si>
  <si>
    <t>Course Code</t>
  </si>
  <si>
    <t>Title of the Course</t>
  </si>
  <si>
    <t>Category of the Course</t>
  </si>
  <si>
    <t>L</t>
  </si>
  <si>
    <t>T</t>
  </si>
  <si>
    <t>P</t>
  </si>
  <si>
    <t>E</t>
  </si>
  <si>
    <t>CA (%)</t>
  </si>
  <si>
    <t>Total Credits</t>
  </si>
  <si>
    <t>Credit</t>
  </si>
  <si>
    <t>ESE (%)</t>
  </si>
  <si>
    <t>Semester 2</t>
  </si>
  <si>
    <t>Semester 1</t>
  </si>
  <si>
    <t>Semester 3</t>
  </si>
  <si>
    <t>COURSE MATRIX: BATCH 2026 - 28</t>
  </si>
  <si>
    <t>Semester 4</t>
  </si>
  <si>
    <t>Course Title</t>
  </si>
  <si>
    <t>Course Category</t>
  </si>
  <si>
    <t>Please ensure the multiples of L, T, P, E are 1, 1, 2, 3 respectively</t>
  </si>
  <si>
    <t>SEC</t>
  </si>
  <si>
    <t>-</t>
  </si>
  <si>
    <t>Transdisciplinary Project Centric Learning 2</t>
  </si>
  <si>
    <t>CC</t>
  </si>
  <si>
    <t>DSE</t>
  </si>
  <si>
    <t>AEC</t>
  </si>
  <si>
    <t>VAC</t>
  </si>
  <si>
    <t>INTERNSHIP</t>
  </si>
  <si>
    <t>PROJECT</t>
  </si>
  <si>
    <t>OE</t>
  </si>
  <si>
    <r>
      <rPr>
        <b/>
        <sz val="11"/>
        <color theme="1"/>
        <rFont val="Calibri"/>
        <family val="2"/>
        <scheme val="minor"/>
      </rPr>
      <t xml:space="preserve">Core Course (CC):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 xml:space="preserve">Discipline Specific Electives (DSE): </t>
    </r>
    <r>
      <rPr>
        <sz val="11"/>
        <color theme="1"/>
        <rFont val="Calibri"/>
        <family val="2"/>
        <scheme val="minor"/>
      </rPr>
      <t xml:space="preserve">Courses which are a part of the discipline to which the program belongs 
</t>
    </r>
    <r>
      <rPr>
        <b/>
        <sz val="11"/>
        <color theme="1"/>
        <rFont val="Calibri"/>
        <family val="2"/>
        <scheme val="minor"/>
      </rPr>
      <t>Multi-Disciplinary Courses/Open Electives (OE):</t>
    </r>
    <r>
      <rPr>
        <sz val="11"/>
        <color theme="1"/>
        <rFont val="Calibri"/>
        <family val="2"/>
        <scheme val="minor"/>
      </rPr>
      <t xml:space="preserve"> Courses which are outside the discipline to which the program belongs
</t>
    </r>
    <r>
      <rPr>
        <b/>
        <sz val="11"/>
        <color theme="1"/>
        <rFont val="Calibri"/>
        <family val="2"/>
        <scheme val="minor"/>
      </rPr>
      <t>Skill Enhancement Course (SEC):</t>
    </r>
    <r>
      <rPr>
        <sz val="11"/>
        <color theme="1"/>
        <rFont val="Calibri"/>
        <family val="2"/>
        <scheme val="minor"/>
      </rPr>
      <t xml:space="preserve"> Courses that contribute to Employability skills / soft skills / life skills </t>
    </r>
  </si>
  <si>
    <t>2-year PG</t>
  </si>
  <si>
    <t>PGD</t>
  </si>
  <si>
    <t>1-year PG</t>
  </si>
  <si>
    <t>Total credits ≥ 80</t>
  </si>
  <si>
    <t>Total credits ≥ 40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</si>
  <si>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</si>
  <si>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</si>
  <si>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t>25MCAC101</t>
  </si>
  <si>
    <t>Data Structures &amp; Algorithms</t>
  </si>
  <si>
    <t>25MCAC102</t>
  </si>
  <si>
    <t>Advanced Computer Networks</t>
  </si>
  <si>
    <t>25MCAC103</t>
  </si>
  <si>
    <t xml:space="preserve">Python Programming </t>
  </si>
  <si>
    <t>25MCAC104</t>
  </si>
  <si>
    <t>Artificial Intelligence</t>
  </si>
  <si>
    <t>25MCAC105</t>
  </si>
  <si>
    <t xml:space="preserve">Mathematical Foundation For Computer Applications </t>
  </si>
  <si>
    <t>Open Elective Course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</si>
  <si>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</si>
  <si>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</si>
  <si>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</si>
  <si>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</si>
  <si>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</si>
  <si>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</si>
  <si>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25CSPGET11</t>
  </si>
  <si>
    <t>Trans Disciplinary Project Centric Learning-1 (TD-PCL-1)</t>
  </si>
  <si>
    <t xml:space="preserve">Research Methodology </t>
  </si>
  <si>
    <t xml:space="preserve"> 25MCACRM1</t>
  </si>
  <si>
    <t>NA</t>
  </si>
  <si>
    <t>25MCAC201</t>
  </si>
  <si>
    <t>Object Oriented Programming Using Java</t>
  </si>
  <si>
    <t>25MCAC202</t>
  </si>
  <si>
    <t>Database Technologies</t>
  </si>
  <si>
    <t>25MCAC203</t>
  </si>
  <si>
    <t>25MCACE4011 / 25MCACE4012</t>
  </si>
  <si>
    <t>Project / Internship</t>
  </si>
  <si>
    <t>25CSPGET31</t>
  </si>
  <si>
    <t>Employability Skill Training-3 (Quantitative Aptitude and Competetive Coding)</t>
  </si>
  <si>
    <t>25CSPGET21</t>
  </si>
  <si>
    <t>Employability Skill Training-2 (Quantitative Aptitude and Competetive Coding)</t>
  </si>
  <si>
    <t>25MCASCE2041/ 25MCASCE2042</t>
  </si>
  <si>
    <t xml:space="preserve">Cloud Web Services / Cloud Computing and Virtualization </t>
  </si>
  <si>
    <t>25MCAC201L</t>
  </si>
  <si>
    <t>Object Oriented Programming Using Java Lab</t>
  </si>
  <si>
    <t>25MCAC202L</t>
  </si>
  <si>
    <t xml:space="preserve">Database Technologies Lsb </t>
  </si>
  <si>
    <t>25MCAC203L</t>
  </si>
  <si>
    <t>Machine Learning Lab</t>
  </si>
  <si>
    <t>25MCASCE2041L/25MCASCE2042L</t>
  </si>
  <si>
    <t>Cloud Web Services Lab / Cloud Computing and Virtualization  Lab</t>
  </si>
  <si>
    <t>Research Methodology</t>
  </si>
  <si>
    <t>Trans Disciplinary Project Centric Learning-2 (TD-PCL-2)</t>
  </si>
  <si>
    <t>25MCAIS304SI / 25MCAIS304CP</t>
  </si>
  <si>
    <t xml:space="preserve">Summer Internship / Capstone project </t>
  </si>
  <si>
    <t>25MCASC301</t>
  </si>
  <si>
    <t>Advanced Cloud Web services</t>
  </si>
  <si>
    <t>25MCASC302</t>
  </si>
  <si>
    <t>Cloud Analytics</t>
  </si>
  <si>
    <t>25MCASC303</t>
  </si>
  <si>
    <t>Machine Learning in Cloud Computing</t>
  </si>
  <si>
    <t>25MCASCE3041 / 25MCASCE3042</t>
  </si>
  <si>
    <t xml:space="preserve"> Programming for Cloud Platform / Datacenter Virtualization </t>
  </si>
  <si>
    <t>Open Elective</t>
  </si>
  <si>
    <t>25MCASC301L</t>
  </si>
  <si>
    <t>Advanced Cloud  Web services Lab</t>
  </si>
  <si>
    <t>25MCASC302L</t>
  </si>
  <si>
    <t>Cloud Analytics Lab</t>
  </si>
  <si>
    <t>25MCASC303L</t>
  </si>
  <si>
    <t>Machine Learning in cloud computing Lab</t>
  </si>
  <si>
    <t xml:space="preserve">25MCASCE4021 / 25MCASCE4022 </t>
  </si>
  <si>
    <t>DevOps / Containers and Microservices</t>
  </si>
  <si>
    <t xml:space="preserve">25MCASCE4031/ 25MCASCE4032 </t>
  </si>
  <si>
    <t>Cloud Security and compliance / Open stack in cloud computing</t>
  </si>
  <si>
    <t>Employability Skill Training-1 (Vedic Mathematics and Competitive Coding)</t>
  </si>
  <si>
    <t>Machine Learning (Integrated with Swayam Course)</t>
  </si>
  <si>
    <t>Professional Ethics and values (Integrated with Swayam Course) / IT Governance and Ethics</t>
  </si>
  <si>
    <t>MCA - 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</si>
</sst>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7" fillId="0" borderId="2" xfId="0" applyFont="1" applyBorder="1" applyAlignment="1">
      <alignment horizontal="justify" vertical="center" wrapText="1"/>
    </xf>
    <xf numFmtId="0" fontId="10" fillId="0" borderId="2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2962275</xdr:colOff>
      <xdr:row>0</xdr:row>
      <xdr:rowOff>0</xdr:rowOff>
    </xdr:from>
    <xdr:to>
      <xdr:col>5</xdr:col>
      <xdr:colOff>95778</xdr:colOff>
      <xdr:row>0</xdr:row>
      <xdr:rowOff>685800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807767-0A11-2B1E-14FD-54CA5905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0"/>
          <a:ext cx="2896128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6"/>
  <sheetViews>
    <sheetView showGridLines="0" tabSelected="1" workbookViewId="0">
      <selection activeCell="B3" sqref="B3:L3"/>
    </sheetView>
  </sheetViews>
  <sheetFormatPr defaultColWidth="9.109375" defaultRowHeight="14.4" x14ac:dyDescent="0.3"/>
  <cols>
    <col min="1" max="1" width="1.44140625" style="1" customWidth="1"/>
    <col min="2" max="2" width="9.109375" style="1"/>
    <col min="3" max="3" width="16.33203125" style="1" customWidth="1"/>
    <col min="4" max="4" width="48.109375" style="1" bestFit="1" customWidth="1"/>
    <col min="5" max="5" width="38.33203125" style="10" bestFit="1" customWidth="1"/>
    <col min="6" max="11" width="9.109375" style="1"/>
    <col min="12" max="12" width="15.88671875" style="1" customWidth="1"/>
    <col min="13" max="16384" width="9.109375" style="1"/>
  </cols>
  <sheetData>
    <row r="1" spans="2:19" ht="56.25" customHeight="1" x14ac:dyDescent="0.3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2:19" s="2" customFormat="1" ht="18" x14ac:dyDescent="0.3">
      <c r="B2" s="31" t="s">
        <v>15</v>
      </c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2:19" s="4" customFormat="1" ht="24" customHeight="1" x14ac:dyDescent="0.3">
      <c r="B3" s="32" t="s">
        <v>107</v>
      </c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2:19" s="4" customFormat="1" ht="7.5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19" s="4" customFormat="1" ht="18.75" customHeight="1" x14ac:dyDescent="0.3">
      <c r="B5" s="34" t="s">
        <v>31</v>
      </c>
      <c r="C5" s="34"/>
      <c r="D5" s="11" t="s">
        <v>34</v>
      </c>
      <c r="E5" s="3"/>
      <c r="F5" s="3"/>
      <c r="G5" s="3"/>
      <c r="H5" s="3"/>
      <c r="I5" s="3"/>
      <c r="J5" s="3"/>
      <c r="K5" s="3"/>
      <c r="L5" s="3"/>
    </row>
    <row r="6" spans="2:19" s="4" customFormat="1" ht="18.75" customHeight="1" x14ac:dyDescent="0.3">
      <c r="B6" s="34" t="s">
        <v>32</v>
      </c>
      <c r="C6" s="34"/>
      <c r="D6" s="11" t="s">
        <v>35</v>
      </c>
      <c r="E6" s="3"/>
      <c r="F6" s="3"/>
      <c r="G6" s="3"/>
      <c r="H6" s="3"/>
      <c r="I6" s="3"/>
      <c r="J6" s="3"/>
      <c r="K6" s="3"/>
      <c r="L6" s="3"/>
    </row>
    <row r="7" spans="2:19" s="4" customFormat="1" ht="18.75" customHeight="1" x14ac:dyDescent="0.3">
      <c r="B7" s="34" t="s">
        <v>33</v>
      </c>
      <c r="C7" s="34"/>
      <c r="D7" s="11" t="s">
        <v>35</v>
      </c>
      <c r="E7" s="3"/>
      <c r="F7" s="3"/>
      <c r="G7" s="3"/>
      <c r="H7" s="3"/>
      <c r="I7" s="3"/>
      <c r="J7" s="3"/>
      <c r="K7" s="3"/>
      <c r="L7" s="3"/>
    </row>
    <row r="8" spans="2:19" s="4" customFormat="1" ht="18.75" customHeight="1" x14ac:dyDescent="0.3">
      <c r="B8" s="12"/>
      <c r="C8" s="12"/>
      <c r="D8" s="13"/>
      <c r="E8" s="3"/>
      <c r="F8" s="3"/>
      <c r="G8" s="3"/>
      <c r="H8" s="3"/>
      <c r="I8" s="3"/>
      <c r="J8" s="3"/>
      <c r="K8" s="3"/>
      <c r="L8" s="3"/>
    </row>
    <row r="9" spans="2:19" s="4" customFormat="1" ht="75" customHeight="1" x14ac:dyDescent="0.3">
      <c r="B9" s="37" t="s">
        <v>36</v>
      </c>
      <c r="C9" s="37"/>
      <c r="D9" s="14" t="s">
        <v>37</v>
      </c>
      <c r="E9" s="38" t="s">
        <v>30</v>
      </c>
      <c r="F9" s="39"/>
      <c r="G9" s="39"/>
      <c r="H9" s="39"/>
      <c r="I9" s="39"/>
      <c r="J9" s="39"/>
      <c r="K9" s="39"/>
      <c r="L9" s="40"/>
    </row>
    <row r="10" spans="2:19" s="4" customFormat="1" ht="10.5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2:19" s="4" customFormat="1" ht="21" x14ac:dyDescent="0.3">
      <c r="B11" s="35" t="s">
        <v>19</v>
      </c>
      <c r="C11" s="35"/>
      <c r="D11" s="35"/>
    </row>
    <row r="12" spans="2:19" s="4" customFormat="1" ht="8.25" customHeight="1" x14ac:dyDescent="0.3">
      <c r="B12" s="36"/>
      <c r="C12" s="36"/>
      <c r="D12" s="36"/>
      <c r="E12" s="3"/>
      <c r="F12" s="3"/>
      <c r="G12" s="3"/>
      <c r="H12" s="3"/>
      <c r="I12" s="3"/>
      <c r="J12" s="3"/>
      <c r="K12" s="3"/>
      <c r="L12" s="3"/>
    </row>
    <row r="13" spans="2:19" ht="15.6" x14ac:dyDescent="0.3">
      <c r="B13" s="33" t="s">
        <v>13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S13" s="1" t="s">
        <v>23</v>
      </c>
    </row>
    <row r="14" spans="2:19" x14ac:dyDescent="0.3">
      <c r="B14" s="5" t="s">
        <v>0</v>
      </c>
      <c r="C14" s="5" t="s">
        <v>1</v>
      </c>
      <c r="D14" s="5" t="s">
        <v>17</v>
      </c>
      <c r="E14" s="5" t="s">
        <v>18</v>
      </c>
      <c r="F14" s="5" t="s">
        <v>4</v>
      </c>
      <c r="G14" s="5" t="s">
        <v>5</v>
      </c>
      <c r="H14" s="5" t="s">
        <v>6</v>
      </c>
      <c r="I14" s="5" t="s">
        <v>7</v>
      </c>
      <c r="J14" s="5" t="s">
        <v>8</v>
      </c>
      <c r="K14" s="5" t="s">
        <v>11</v>
      </c>
      <c r="L14" s="5" t="s">
        <v>10</v>
      </c>
      <c r="S14" s="1" t="s">
        <v>24</v>
      </c>
    </row>
    <row r="15" spans="2:19" x14ac:dyDescent="0.3">
      <c r="B15" s="6">
        <v>1</v>
      </c>
      <c r="C15" s="7" t="s">
        <v>38</v>
      </c>
      <c r="D15" s="7" t="s">
        <v>39</v>
      </c>
      <c r="E15" s="6" t="s">
        <v>23</v>
      </c>
      <c r="F15" s="17">
        <v>3</v>
      </c>
      <c r="G15" s="17">
        <v>0</v>
      </c>
      <c r="H15" s="17">
        <v>0</v>
      </c>
      <c r="I15" s="17">
        <v>0</v>
      </c>
      <c r="J15" s="18">
        <v>50</v>
      </c>
      <c r="K15" s="18">
        <v>50</v>
      </c>
      <c r="L15" s="17">
        <v>3</v>
      </c>
      <c r="S15" s="1" t="s">
        <v>20</v>
      </c>
    </row>
    <row r="16" spans="2:19" x14ac:dyDescent="0.3">
      <c r="B16" s="6">
        <v>2</v>
      </c>
      <c r="C16" s="7" t="s">
        <v>40</v>
      </c>
      <c r="D16" s="7" t="s">
        <v>41</v>
      </c>
      <c r="E16" s="6" t="s">
        <v>23</v>
      </c>
      <c r="F16" s="17">
        <v>3</v>
      </c>
      <c r="G16" s="17">
        <v>0</v>
      </c>
      <c r="H16" s="17">
        <v>0</v>
      </c>
      <c r="I16" s="17">
        <v>0</v>
      </c>
      <c r="J16" s="18">
        <v>50</v>
      </c>
      <c r="K16" s="18">
        <v>50</v>
      </c>
      <c r="L16" s="17">
        <v>3</v>
      </c>
      <c r="S16" s="1" t="s">
        <v>25</v>
      </c>
    </row>
    <row r="17" spans="2:19" x14ac:dyDescent="0.3">
      <c r="B17" s="6">
        <v>3</v>
      </c>
      <c r="C17" s="7" t="s">
        <v>42</v>
      </c>
      <c r="D17" s="7" t="s">
        <v>43</v>
      </c>
      <c r="E17" s="6" t="s">
        <v>23</v>
      </c>
      <c r="F17" s="17">
        <v>3</v>
      </c>
      <c r="G17" s="17">
        <v>0</v>
      </c>
      <c r="H17" s="17">
        <v>0</v>
      </c>
      <c r="I17" s="17">
        <v>0</v>
      </c>
      <c r="J17" s="29">
        <v>70</v>
      </c>
      <c r="K17" s="29">
        <v>30</v>
      </c>
      <c r="L17" s="17">
        <v>3</v>
      </c>
      <c r="S17" s="1" t="s">
        <v>26</v>
      </c>
    </row>
    <row r="18" spans="2:19" x14ac:dyDescent="0.3">
      <c r="B18" s="6">
        <v>4</v>
      </c>
      <c r="C18" s="7" t="s">
        <v>44</v>
      </c>
      <c r="D18" s="7" t="s">
        <v>45</v>
      </c>
      <c r="E18" s="6" t="s">
        <v>23</v>
      </c>
      <c r="F18" s="17">
        <v>3</v>
      </c>
      <c r="G18" s="17">
        <v>0</v>
      </c>
      <c r="H18" s="17">
        <v>0</v>
      </c>
      <c r="I18" s="17">
        <v>0</v>
      </c>
      <c r="J18" s="18">
        <v>50</v>
      </c>
      <c r="K18" s="18">
        <v>50</v>
      </c>
      <c r="L18" s="17">
        <v>3</v>
      </c>
      <c r="S18" s="1" t="s">
        <v>27</v>
      </c>
    </row>
    <row r="19" spans="2:19" x14ac:dyDescent="0.3">
      <c r="B19" s="6">
        <v>5</v>
      </c>
      <c r="C19" s="7" t="s">
        <v>46</v>
      </c>
      <c r="D19" s="7" t="s">
        <v>47</v>
      </c>
      <c r="E19" s="6" t="s">
        <v>23</v>
      </c>
      <c r="F19" s="17">
        <v>3</v>
      </c>
      <c r="G19" s="17">
        <v>0</v>
      </c>
      <c r="H19" s="17">
        <v>0</v>
      </c>
      <c r="I19" s="17">
        <v>0</v>
      </c>
      <c r="J19" s="18">
        <v>50</v>
      </c>
      <c r="K19" s="18">
        <v>50</v>
      </c>
      <c r="L19" s="17">
        <v>3</v>
      </c>
      <c r="S19" s="1" t="s">
        <v>28</v>
      </c>
    </row>
    <row r="20" spans="2:19" ht="28.8" x14ac:dyDescent="0.3">
      <c r="B20" s="6">
        <v>6</v>
      </c>
      <c r="C20" s="7" t="s">
        <v>55</v>
      </c>
      <c r="D20" s="16" t="s">
        <v>104</v>
      </c>
      <c r="E20" s="6" t="s">
        <v>20</v>
      </c>
      <c r="F20" s="17">
        <v>1</v>
      </c>
      <c r="G20" s="17">
        <v>0</v>
      </c>
      <c r="H20" s="17">
        <v>2</v>
      </c>
      <c r="I20" s="17">
        <v>0</v>
      </c>
      <c r="J20" s="18">
        <v>100</v>
      </c>
      <c r="K20" s="17" t="s">
        <v>59</v>
      </c>
      <c r="L20" s="17">
        <v>2</v>
      </c>
      <c r="S20" s="1" t="s">
        <v>29</v>
      </c>
    </row>
    <row r="21" spans="2:19" x14ac:dyDescent="0.3">
      <c r="B21" s="6">
        <v>7</v>
      </c>
      <c r="C21" s="7"/>
      <c r="D21" s="7" t="s">
        <v>48</v>
      </c>
      <c r="E21" s="6" t="s">
        <v>29</v>
      </c>
      <c r="F21" s="17">
        <v>3</v>
      </c>
      <c r="G21" s="17">
        <v>0</v>
      </c>
      <c r="H21" s="17">
        <v>0</v>
      </c>
      <c r="I21" s="17">
        <v>0</v>
      </c>
      <c r="J21" s="18">
        <v>50</v>
      </c>
      <c r="K21" s="17">
        <v>50</v>
      </c>
      <c r="L21" s="17">
        <v>3</v>
      </c>
    </row>
    <row r="22" spans="2:19" x14ac:dyDescent="0.3">
      <c r="B22" s="6">
        <v>8</v>
      </c>
      <c r="C22" s="7" t="s">
        <v>49</v>
      </c>
      <c r="D22" s="7" t="s">
        <v>50</v>
      </c>
      <c r="E22" s="6" t="s">
        <v>23</v>
      </c>
      <c r="F22" s="17">
        <v>0</v>
      </c>
      <c r="G22" s="17">
        <v>0</v>
      </c>
      <c r="H22" s="17">
        <v>2</v>
      </c>
      <c r="I22" s="17">
        <v>0</v>
      </c>
      <c r="J22" s="18">
        <v>100</v>
      </c>
      <c r="K22" s="17" t="s">
        <v>59</v>
      </c>
      <c r="L22" s="17">
        <v>1</v>
      </c>
    </row>
    <row r="23" spans="2:19" x14ac:dyDescent="0.3">
      <c r="B23" s="6">
        <v>9</v>
      </c>
      <c r="C23" s="7" t="s">
        <v>51</v>
      </c>
      <c r="D23" s="7" t="s">
        <v>52</v>
      </c>
      <c r="E23" s="6" t="s">
        <v>23</v>
      </c>
      <c r="F23" s="17">
        <v>0</v>
      </c>
      <c r="G23" s="17">
        <v>0</v>
      </c>
      <c r="H23" s="17">
        <v>2</v>
      </c>
      <c r="I23" s="17">
        <v>0</v>
      </c>
      <c r="J23" s="18">
        <v>100</v>
      </c>
      <c r="K23" s="17" t="s">
        <v>59</v>
      </c>
      <c r="L23" s="17">
        <v>1</v>
      </c>
    </row>
    <row r="24" spans="2:19" x14ac:dyDescent="0.3">
      <c r="B24" s="6">
        <v>10</v>
      </c>
      <c r="C24" s="7" t="s">
        <v>53</v>
      </c>
      <c r="D24" s="7" t="s">
        <v>54</v>
      </c>
      <c r="E24" s="6" t="s">
        <v>23</v>
      </c>
      <c r="F24" s="17">
        <v>0</v>
      </c>
      <c r="G24" s="17">
        <v>0</v>
      </c>
      <c r="H24" s="17">
        <v>2</v>
      </c>
      <c r="I24" s="17">
        <v>0</v>
      </c>
      <c r="J24" s="18">
        <v>100</v>
      </c>
      <c r="K24" s="17" t="s">
        <v>59</v>
      </c>
      <c r="L24" s="17">
        <v>1</v>
      </c>
    </row>
    <row r="25" spans="2:19" x14ac:dyDescent="0.3">
      <c r="B25" s="6">
        <v>11</v>
      </c>
      <c r="C25" s="7"/>
      <c r="D25" s="16" t="s">
        <v>56</v>
      </c>
      <c r="E25" s="6" t="s">
        <v>20</v>
      </c>
      <c r="F25" s="17">
        <v>0</v>
      </c>
      <c r="G25" s="17">
        <v>1</v>
      </c>
      <c r="H25" s="17">
        <v>0</v>
      </c>
      <c r="I25" s="17">
        <v>6</v>
      </c>
      <c r="J25" s="6" t="s">
        <v>21</v>
      </c>
      <c r="K25" s="6" t="s">
        <v>21</v>
      </c>
      <c r="L25" s="8">
        <v>0</v>
      </c>
    </row>
    <row r="26" spans="2:19" x14ac:dyDescent="0.3">
      <c r="B26" s="6">
        <v>12</v>
      </c>
      <c r="C26" s="7" t="s">
        <v>58</v>
      </c>
      <c r="D26" s="7" t="s">
        <v>57</v>
      </c>
      <c r="E26" s="6" t="s">
        <v>20</v>
      </c>
      <c r="F26" s="17">
        <v>0</v>
      </c>
      <c r="G26" s="17">
        <v>1</v>
      </c>
      <c r="H26" s="17">
        <v>0</v>
      </c>
      <c r="I26" s="17">
        <v>3</v>
      </c>
      <c r="J26" s="6" t="s">
        <v>21</v>
      </c>
      <c r="K26" s="6" t="s">
        <v>21</v>
      </c>
      <c r="L26" s="8">
        <v>0</v>
      </c>
    </row>
    <row r="27" spans="2:19" x14ac:dyDescent="0.3">
      <c r="B27" s="34" t="s">
        <v>9</v>
      </c>
      <c r="C27" s="34"/>
      <c r="D27" s="34"/>
      <c r="E27" s="34"/>
      <c r="F27" s="34"/>
      <c r="G27" s="34"/>
      <c r="H27" s="34"/>
      <c r="I27" s="34"/>
      <c r="J27" s="34"/>
      <c r="K27" s="34"/>
      <c r="L27" s="8">
        <f>SUM(L15:L26)</f>
        <v>23</v>
      </c>
    </row>
    <row r="29" spans="2:19" ht="15.6" x14ac:dyDescent="0.3">
      <c r="B29" s="33" t="s">
        <v>12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9" x14ac:dyDescent="0.3">
      <c r="B30" s="5" t="s">
        <v>0</v>
      </c>
      <c r="C30" s="5" t="s">
        <v>1</v>
      </c>
      <c r="D30" s="5" t="s">
        <v>2</v>
      </c>
      <c r="E30" s="5" t="s">
        <v>3</v>
      </c>
      <c r="F30" s="5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11</v>
      </c>
      <c r="L30" s="5" t="s">
        <v>10</v>
      </c>
    </row>
    <row r="31" spans="2:19" x14ac:dyDescent="0.3">
      <c r="B31" s="6">
        <v>1</v>
      </c>
      <c r="C31" s="15" t="s">
        <v>60</v>
      </c>
      <c r="D31" s="15" t="s">
        <v>61</v>
      </c>
      <c r="E31" s="6" t="s">
        <v>23</v>
      </c>
      <c r="F31" s="17">
        <v>2</v>
      </c>
      <c r="G31" s="17">
        <v>0</v>
      </c>
      <c r="H31" s="17">
        <v>0</v>
      </c>
      <c r="I31" s="17">
        <v>3</v>
      </c>
      <c r="J31" s="17">
        <v>70</v>
      </c>
      <c r="K31" s="17">
        <v>30</v>
      </c>
      <c r="L31" s="8">
        <v>3</v>
      </c>
    </row>
    <row r="32" spans="2:19" x14ac:dyDescent="0.3">
      <c r="B32" s="6">
        <v>2</v>
      </c>
      <c r="C32" s="15" t="s">
        <v>62</v>
      </c>
      <c r="D32" s="19" t="s">
        <v>63</v>
      </c>
      <c r="E32" s="6" t="s">
        <v>23</v>
      </c>
      <c r="F32" s="17">
        <v>3</v>
      </c>
      <c r="G32" s="17">
        <v>0</v>
      </c>
      <c r="H32" s="17">
        <v>0</v>
      </c>
      <c r="I32" s="17">
        <v>0</v>
      </c>
      <c r="J32" s="17">
        <v>70</v>
      </c>
      <c r="K32" s="17">
        <v>30</v>
      </c>
      <c r="L32" s="8">
        <v>3</v>
      </c>
    </row>
    <row r="33" spans="2:12" x14ac:dyDescent="0.3">
      <c r="B33" s="6">
        <v>3</v>
      </c>
      <c r="C33" s="20" t="s">
        <v>64</v>
      </c>
      <c r="D33" s="19" t="s">
        <v>105</v>
      </c>
      <c r="E33" s="6" t="s">
        <v>23</v>
      </c>
      <c r="F33" s="17">
        <v>3</v>
      </c>
      <c r="G33" s="17">
        <v>0</v>
      </c>
      <c r="H33" s="17">
        <v>0</v>
      </c>
      <c r="I33" s="17">
        <v>0</v>
      </c>
      <c r="J33" s="17">
        <v>60</v>
      </c>
      <c r="K33" s="17">
        <v>40</v>
      </c>
      <c r="L33" s="8">
        <v>3</v>
      </c>
    </row>
    <row r="34" spans="2:12" ht="27.6" x14ac:dyDescent="0.3">
      <c r="B34" s="6">
        <v>4</v>
      </c>
      <c r="C34" s="20" t="s">
        <v>71</v>
      </c>
      <c r="D34" s="22" t="s">
        <v>72</v>
      </c>
      <c r="E34" s="6" t="s">
        <v>24</v>
      </c>
      <c r="F34" s="17">
        <v>2</v>
      </c>
      <c r="G34" s="17">
        <v>0</v>
      </c>
      <c r="H34" s="17">
        <v>0</v>
      </c>
      <c r="I34" s="17">
        <v>3</v>
      </c>
      <c r="J34" s="17">
        <v>60</v>
      </c>
      <c r="K34" s="17">
        <v>40</v>
      </c>
      <c r="L34" s="8">
        <v>3</v>
      </c>
    </row>
    <row r="35" spans="2:12" ht="26.4" x14ac:dyDescent="0.3">
      <c r="B35" s="6">
        <v>5</v>
      </c>
      <c r="C35" s="19" t="s">
        <v>69</v>
      </c>
      <c r="D35" s="19" t="s">
        <v>70</v>
      </c>
      <c r="E35" s="6" t="s">
        <v>20</v>
      </c>
      <c r="F35" s="17">
        <v>1</v>
      </c>
      <c r="G35" s="17">
        <v>0</v>
      </c>
      <c r="H35" s="17">
        <v>2</v>
      </c>
      <c r="I35" s="17">
        <v>0</v>
      </c>
      <c r="J35" s="17">
        <v>100</v>
      </c>
      <c r="K35" s="17" t="s">
        <v>59</v>
      </c>
      <c r="L35" s="8">
        <v>2</v>
      </c>
    </row>
    <row r="36" spans="2:12" x14ac:dyDescent="0.3">
      <c r="B36" s="6">
        <v>6</v>
      </c>
      <c r="C36" s="19" t="s">
        <v>73</v>
      </c>
      <c r="D36" s="22" t="s">
        <v>74</v>
      </c>
      <c r="E36" s="6" t="s">
        <v>23</v>
      </c>
      <c r="F36" s="17">
        <v>0</v>
      </c>
      <c r="G36" s="17">
        <v>0</v>
      </c>
      <c r="H36" s="17">
        <v>2</v>
      </c>
      <c r="I36" s="17">
        <v>0</v>
      </c>
      <c r="J36" s="17">
        <v>100</v>
      </c>
      <c r="K36" s="17" t="s">
        <v>59</v>
      </c>
      <c r="L36" s="8">
        <v>1</v>
      </c>
    </row>
    <row r="37" spans="2:12" x14ac:dyDescent="0.3">
      <c r="B37" s="6">
        <v>7</v>
      </c>
      <c r="C37" s="19" t="s">
        <v>75</v>
      </c>
      <c r="D37" s="22" t="s">
        <v>76</v>
      </c>
      <c r="E37" s="6" t="s">
        <v>23</v>
      </c>
      <c r="F37" s="17">
        <v>0</v>
      </c>
      <c r="G37" s="17">
        <v>0</v>
      </c>
      <c r="H37" s="17">
        <v>2</v>
      </c>
      <c r="I37" s="17">
        <v>0</v>
      </c>
      <c r="J37" s="17">
        <v>100</v>
      </c>
      <c r="K37" s="17" t="s">
        <v>59</v>
      </c>
      <c r="L37" s="8">
        <v>1</v>
      </c>
    </row>
    <row r="38" spans="2:12" x14ac:dyDescent="0.3">
      <c r="B38" s="6">
        <v>8</v>
      </c>
      <c r="C38" s="19" t="s">
        <v>77</v>
      </c>
      <c r="D38" s="22" t="s">
        <v>78</v>
      </c>
      <c r="E38" s="6" t="s">
        <v>23</v>
      </c>
      <c r="F38" s="17">
        <v>0</v>
      </c>
      <c r="G38" s="17">
        <v>0</v>
      </c>
      <c r="H38" s="17">
        <v>2</v>
      </c>
      <c r="I38" s="17">
        <v>0</v>
      </c>
      <c r="J38" s="17">
        <v>100</v>
      </c>
      <c r="K38" s="17" t="s">
        <v>59</v>
      </c>
      <c r="L38" s="8">
        <v>1</v>
      </c>
    </row>
    <row r="39" spans="2:12" ht="27.6" x14ac:dyDescent="0.3">
      <c r="B39" s="6">
        <v>9</v>
      </c>
      <c r="C39" s="20" t="s">
        <v>79</v>
      </c>
      <c r="D39" s="22" t="s">
        <v>80</v>
      </c>
      <c r="E39" s="6" t="s">
        <v>24</v>
      </c>
      <c r="F39" s="17">
        <v>0</v>
      </c>
      <c r="G39" s="17">
        <v>0</v>
      </c>
      <c r="H39" s="17">
        <v>2</v>
      </c>
      <c r="I39" s="17">
        <v>0</v>
      </c>
      <c r="J39" s="17">
        <v>100</v>
      </c>
      <c r="K39" s="17" t="s">
        <v>59</v>
      </c>
      <c r="L39" s="8">
        <v>1</v>
      </c>
    </row>
    <row r="40" spans="2:12" x14ac:dyDescent="0.3">
      <c r="B40" s="6"/>
      <c r="C40" s="20"/>
      <c r="D40" s="7" t="s">
        <v>22</v>
      </c>
      <c r="E40" s="6" t="s">
        <v>20</v>
      </c>
      <c r="F40" s="6">
        <v>0</v>
      </c>
      <c r="G40" s="6">
        <v>0</v>
      </c>
      <c r="H40" s="6">
        <v>0</v>
      </c>
      <c r="I40" s="6">
        <v>9</v>
      </c>
      <c r="J40" s="17">
        <v>50</v>
      </c>
      <c r="K40" s="17">
        <v>50</v>
      </c>
      <c r="L40" s="8">
        <v>3</v>
      </c>
    </row>
    <row r="41" spans="2:12" x14ac:dyDescent="0.3">
      <c r="B41" s="6">
        <v>10</v>
      </c>
      <c r="C41" s="23" t="s">
        <v>58</v>
      </c>
      <c r="D41" s="7" t="s">
        <v>81</v>
      </c>
      <c r="E41" s="6" t="s">
        <v>20</v>
      </c>
      <c r="F41" s="17">
        <v>0</v>
      </c>
      <c r="G41" s="17">
        <v>1</v>
      </c>
      <c r="H41" s="17">
        <v>0</v>
      </c>
      <c r="I41" s="17">
        <v>3</v>
      </c>
      <c r="J41" s="17">
        <v>100</v>
      </c>
      <c r="K41" s="17" t="s">
        <v>59</v>
      </c>
      <c r="L41" s="8">
        <v>2</v>
      </c>
    </row>
    <row r="42" spans="2:12" x14ac:dyDescent="0.3">
      <c r="B42" s="34" t="s">
        <v>9</v>
      </c>
      <c r="C42" s="34"/>
      <c r="D42" s="34"/>
      <c r="E42" s="34"/>
      <c r="F42" s="34"/>
      <c r="G42" s="34"/>
      <c r="H42" s="34"/>
      <c r="I42" s="34"/>
      <c r="J42" s="34"/>
      <c r="K42" s="34"/>
      <c r="L42" s="8">
        <f>SUM(L31:L41)</f>
        <v>23</v>
      </c>
    </row>
    <row r="44" spans="2:12" ht="15.6" x14ac:dyDescent="0.3">
      <c r="B44" s="33" t="s">
        <v>14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</row>
    <row r="45" spans="2:12" x14ac:dyDescent="0.3">
      <c r="B45" s="5" t="s">
        <v>0</v>
      </c>
      <c r="C45" s="5" t="s">
        <v>1</v>
      </c>
      <c r="D45" s="5" t="s">
        <v>2</v>
      </c>
      <c r="E45" s="5" t="s">
        <v>3</v>
      </c>
      <c r="F45" s="5" t="s">
        <v>4</v>
      </c>
      <c r="G45" s="5" t="s">
        <v>5</v>
      </c>
      <c r="H45" s="5" t="s">
        <v>6</v>
      </c>
      <c r="I45" s="5" t="s">
        <v>7</v>
      </c>
      <c r="J45" s="5" t="s">
        <v>8</v>
      </c>
      <c r="K45" s="5" t="s">
        <v>11</v>
      </c>
      <c r="L45" s="5" t="s">
        <v>10</v>
      </c>
    </row>
    <row r="46" spans="2:12" x14ac:dyDescent="0.3">
      <c r="B46" s="6">
        <v>1</v>
      </c>
      <c r="C46" s="19" t="s">
        <v>85</v>
      </c>
      <c r="D46" s="25" t="s">
        <v>86</v>
      </c>
      <c r="E46" s="26" t="s">
        <v>23</v>
      </c>
      <c r="F46" s="17">
        <v>2</v>
      </c>
      <c r="G46" s="17">
        <v>0</v>
      </c>
      <c r="H46" s="17">
        <v>0</v>
      </c>
      <c r="I46" s="17">
        <v>3</v>
      </c>
      <c r="J46" s="17">
        <v>60</v>
      </c>
      <c r="K46" s="17">
        <v>40</v>
      </c>
      <c r="L46" s="17">
        <v>3</v>
      </c>
    </row>
    <row r="47" spans="2:12" x14ac:dyDescent="0.3">
      <c r="B47" s="6">
        <v>2</v>
      </c>
      <c r="C47" s="19" t="s">
        <v>87</v>
      </c>
      <c r="D47" s="25" t="s">
        <v>88</v>
      </c>
      <c r="E47" s="26" t="s">
        <v>23</v>
      </c>
      <c r="F47" s="17">
        <v>2</v>
      </c>
      <c r="G47" s="17">
        <v>0</v>
      </c>
      <c r="H47" s="17">
        <v>0</v>
      </c>
      <c r="I47" s="17">
        <v>3</v>
      </c>
      <c r="J47" s="17">
        <v>60</v>
      </c>
      <c r="K47" s="17">
        <v>40</v>
      </c>
      <c r="L47" s="17">
        <v>3</v>
      </c>
    </row>
    <row r="48" spans="2:12" x14ac:dyDescent="0.3">
      <c r="B48" s="6">
        <v>3</v>
      </c>
      <c r="C48" s="19" t="s">
        <v>89</v>
      </c>
      <c r="D48" s="22" t="s">
        <v>90</v>
      </c>
      <c r="E48" s="26" t="s">
        <v>23</v>
      </c>
      <c r="F48" s="17">
        <v>3</v>
      </c>
      <c r="G48" s="17">
        <v>0</v>
      </c>
      <c r="H48" s="17">
        <v>0</v>
      </c>
      <c r="I48" s="17">
        <v>0</v>
      </c>
      <c r="J48" s="17">
        <v>60</v>
      </c>
      <c r="K48" s="17">
        <v>40</v>
      </c>
      <c r="L48" s="17">
        <v>3</v>
      </c>
    </row>
    <row r="49" spans="2:12" ht="27.6" x14ac:dyDescent="0.3">
      <c r="B49" s="6">
        <v>4</v>
      </c>
      <c r="C49" s="19" t="s">
        <v>91</v>
      </c>
      <c r="D49" s="21" t="s">
        <v>92</v>
      </c>
      <c r="E49" s="26" t="s">
        <v>24</v>
      </c>
      <c r="F49" s="17">
        <v>3</v>
      </c>
      <c r="G49" s="17">
        <v>0</v>
      </c>
      <c r="H49" s="17">
        <v>0</v>
      </c>
      <c r="I49" s="17">
        <v>0</v>
      </c>
      <c r="J49" s="17">
        <v>60</v>
      </c>
      <c r="K49" s="17">
        <v>40</v>
      </c>
      <c r="L49" s="17">
        <v>3</v>
      </c>
    </row>
    <row r="50" spans="2:12" x14ac:dyDescent="0.3">
      <c r="B50" s="6">
        <v>5</v>
      </c>
      <c r="C50" s="21"/>
      <c r="D50" s="24" t="s">
        <v>93</v>
      </c>
      <c r="E50" s="6" t="s">
        <v>29</v>
      </c>
      <c r="F50" s="17">
        <v>3</v>
      </c>
      <c r="G50" s="17">
        <v>0</v>
      </c>
      <c r="H50" s="17">
        <v>0</v>
      </c>
      <c r="I50" s="17">
        <v>0</v>
      </c>
      <c r="J50" s="17">
        <v>50</v>
      </c>
      <c r="K50" s="17">
        <v>50</v>
      </c>
      <c r="L50" s="17">
        <v>3</v>
      </c>
    </row>
    <row r="51" spans="2:12" ht="27.6" x14ac:dyDescent="0.3">
      <c r="B51" s="9">
        <v>6</v>
      </c>
      <c r="C51" s="21" t="s">
        <v>67</v>
      </c>
      <c r="D51" s="21" t="s">
        <v>68</v>
      </c>
      <c r="E51" s="6" t="s">
        <v>20</v>
      </c>
      <c r="F51" s="17">
        <v>1</v>
      </c>
      <c r="G51" s="17">
        <v>0</v>
      </c>
      <c r="H51" s="17">
        <v>2</v>
      </c>
      <c r="I51" s="17">
        <v>0</v>
      </c>
      <c r="J51" s="17">
        <v>100</v>
      </c>
      <c r="K51" s="17" t="s">
        <v>59</v>
      </c>
      <c r="L51" s="17">
        <v>2</v>
      </c>
    </row>
    <row r="52" spans="2:12" x14ac:dyDescent="0.3">
      <c r="B52" s="9">
        <v>7</v>
      </c>
      <c r="C52" s="21" t="s">
        <v>94</v>
      </c>
      <c r="D52" s="24" t="s">
        <v>95</v>
      </c>
      <c r="E52" s="6" t="s">
        <v>23</v>
      </c>
      <c r="F52" s="17">
        <v>0</v>
      </c>
      <c r="G52" s="17">
        <v>0</v>
      </c>
      <c r="H52" s="17">
        <v>2</v>
      </c>
      <c r="I52" s="17">
        <v>0</v>
      </c>
      <c r="J52" s="17">
        <v>100</v>
      </c>
      <c r="K52" s="17" t="s">
        <v>59</v>
      </c>
      <c r="L52" s="17">
        <v>1</v>
      </c>
    </row>
    <row r="53" spans="2:12" x14ac:dyDescent="0.3">
      <c r="B53" s="6">
        <v>8</v>
      </c>
      <c r="C53" s="21" t="s">
        <v>96</v>
      </c>
      <c r="D53" s="24" t="s">
        <v>97</v>
      </c>
      <c r="E53" s="6" t="s">
        <v>23</v>
      </c>
      <c r="F53" s="17">
        <v>0</v>
      </c>
      <c r="G53" s="17">
        <v>0</v>
      </c>
      <c r="H53" s="17">
        <v>2</v>
      </c>
      <c r="I53" s="17">
        <v>0</v>
      </c>
      <c r="J53" s="17">
        <v>100</v>
      </c>
      <c r="K53" s="17" t="s">
        <v>59</v>
      </c>
      <c r="L53" s="17">
        <v>1</v>
      </c>
    </row>
    <row r="54" spans="2:12" x14ac:dyDescent="0.3">
      <c r="B54" s="6">
        <v>9</v>
      </c>
      <c r="C54" s="21" t="s">
        <v>98</v>
      </c>
      <c r="D54" s="24" t="s">
        <v>99</v>
      </c>
      <c r="E54" s="6" t="s">
        <v>23</v>
      </c>
      <c r="F54" s="17">
        <v>0</v>
      </c>
      <c r="G54" s="17">
        <v>0</v>
      </c>
      <c r="H54" s="17">
        <v>2</v>
      </c>
      <c r="I54" s="17">
        <v>0</v>
      </c>
      <c r="J54" s="17">
        <v>100</v>
      </c>
      <c r="K54" s="17" t="s">
        <v>59</v>
      </c>
      <c r="L54" s="17">
        <v>1</v>
      </c>
    </row>
    <row r="55" spans="2:12" x14ac:dyDescent="0.3">
      <c r="B55" s="6">
        <v>10</v>
      </c>
      <c r="C55" s="21"/>
      <c r="D55" s="15" t="s">
        <v>82</v>
      </c>
      <c r="E55" s="6" t="s">
        <v>20</v>
      </c>
      <c r="F55" s="17">
        <v>0</v>
      </c>
      <c r="G55" s="17">
        <v>1</v>
      </c>
      <c r="H55" s="17">
        <v>0</v>
      </c>
      <c r="I55" s="17">
        <v>6</v>
      </c>
      <c r="J55" s="17"/>
      <c r="K55" s="17"/>
      <c r="L55" s="17"/>
    </row>
    <row r="56" spans="2:12" ht="27.6" x14ac:dyDescent="0.3">
      <c r="B56" s="6">
        <v>11</v>
      </c>
      <c r="C56" s="21" t="s">
        <v>83</v>
      </c>
      <c r="D56" s="24" t="s">
        <v>84</v>
      </c>
      <c r="E56" s="6" t="s">
        <v>27</v>
      </c>
      <c r="F56" s="17">
        <v>0</v>
      </c>
      <c r="G56" s="17">
        <v>0</v>
      </c>
      <c r="H56" s="17">
        <v>0</v>
      </c>
      <c r="I56" s="17">
        <v>9</v>
      </c>
      <c r="J56" s="17">
        <v>100</v>
      </c>
      <c r="K56" s="17" t="s">
        <v>59</v>
      </c>
      <c r="L56" s="17">
        <v>3</v>
      </c>
    </row>
    <row r="57" spans="2:12" x14ac:dyDescent="0.3">
      <c r="B57" s="34" t="s">
        <v>9</v>
      </c>
      <c r="C57" s="34"/>
      <c r="D57" s="34"/>
      <c r="E57" s="34"/>
      <c r="F57" s="34"/>
      <c r="G57" s="34"/>
      <c r="H57" s="34"/>
      <c r="I57" s="34"/>
      <c r="J57" s="34"/>
      <c r="K57" s="34"/>
      <c r="L57" s="8">
        <f>SUM(L46:L56)</f>
        <v>23</v>
      </c>
    </row>
    <row r="59" spans="2:12" ht="15.6" x14ac:dyDescent="0.3">
      <c r="B59" s="33" t="s">
        <v>16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2:12" x14ac:dyDescent="0.3">
      <c r="B60" s="5" t="s">
        <v>0</v>
      </c>
      <c r="C60" s="5" t="s">
        <v>1</v>
      </c>
      <c r="D60" s="5" t="s">
        <v>2</v>
      </c>
      <c r="E60" s="5" t="s">
        <v>3</v>
      </c>
      <c r="F60" s="5" t="s">
        <v>4</v>
      </c>
      <c r="G60" s="5" t="s">
        <v>5</v>
      </c>
      <c r="H60" s="5" t="s">
        <v>6</v>
      </c>
      <c r="I60" s="5" t="s">
        <v>7</v>
      </c>
      <c r="J60" s="5" t="s">
        <v>8</v>
      </c>
      <c r="K60" s="5" t="s">
        <v>11</v>
      </c>
      <c r="L60" s="5" t="s">
        <v>10</v>
      </c>
    </row>
    <row r="61" spans="2:12" ht="27.6" x14ac:dyDescent="0.3">
      <c r="B61" s="6">
        <v>1</v>
      </c>
      <c r="C61" s="21" t="s">
        <v>65</v>
      </c>
      <c r="D61" s="21" t="s">
        <v>106</v>
      </c>
      <c r="E61" s="6" t="s">
        <v>24</v>
      </c>
      <c r="F61" s="17">
        <v>2</v>
      </c>
      <c r="G61" s="17">
        <v>0</v>
      </c>
      <c r="H61" s="17">
        <v>0</v>
      </c>
      <c r="I61" s="17">
        <v>3</v>
      </c>
      <c r="J61" s="17">
        <v>60</v>
      </c>
      <c r="K61" s="17">
        <v>40</v>
      </c>
      <c r="L61" s="8">
        <v>3</v>
      </c>
    </row>
    <row r="62" spans="2:12" ht="26.4" x14ac:dyDescent="0.3">
      <c r="B62" s="6">
        <v>2</v>
      </c>
      <c r="C62" s="15" t="s">
        <v>100</v>
      </c>
      <c r="D62" s="22" t="s">
        <v>101</v>
      </c>
      <c r="E62" s="6" t="s">
        <v>24</v>
      </c>
      <c r="F62" s="17">
        <v>2</v>
      </c>
      <c r="G62" s="17">
        <v>0</v>
      </c>
      <c r="H62" s="17">
        <v>0</v>
      </c>
      <c r="I62" s="17">
        <v>3</v>
      </c>
      <c r="J62" s="6">
        <v>50</v>
      </c>
      <c r="K62" s="6">
        <v>50</v>
      </c>
      <c r="L62" s="8">
        <v>3</v>
      </c>
    </row>
    <row r="63" spans="2:12" ht="27.6" x14ac:dyDescent="0.3">
      <c r="B63" s="6">
        <v>3</v>
      </c>
      <c r="C63" s="27" t="s">
        <v>102</v>
      </c>
      <c r="D63" s="28" t="s">
        <v>103</v>
      </c>
      <c r="E63" s="6" t="s">
        <v>24</v>
      </c>
      <c r="F63" s="17">
        <v>3</v>
      </c>
      <c r="G63" s="17">
        <v>0</v>
      </c>
      <c r="H63" s="17">
        <v>0</v>
      </c>
      <c r="I63" s="17">
        <v>0</v>
      </c>
      <c r="J63" s="6">
        <v>50</v>
      </c>
      <c r="K63" s="6">
        <v>50</v>
      </c>
      <c r="L63" s="8">
        <v>3</v>
      </c>
    </row>
    <row r="64" spans="2:12" x14ac:dyDescent="0.3">
      <c r="B64" s="6"/>
      <c r="C64" s="7"/>
      <c r="D64" s="7" t="s">
        <v>66</v>
      </c>
      <c r="E64" s="6"/>
      <c r="F64" s="17">
        <v>2</v>
      </c>
      <c r="G64" s="17">
        <v>0</v>
      </c>
      <c r="H64" s="17">
        <v>4</v>
      </c>
      <c r="I64" s="17">
        <v>15</v>
      </c>
      <c r="J64" s="6">
        <v>50</v>
      </c>
      <c r="K64" s="6">
        <v>50</v>
      </c>
      <c r="L64" s="8">
        <v>9</v>
      </c>
    </row>
    <row r="65" spans="2:12" x14ac:dyDescent="0.3">
      <c r="B65" s="6">
        <v>10</v>
      </c>
      <c r="C65" s="7"/>
      <c r="D65" s="7" t="s">
        <v>22</v>
      </c>
      <c r="E65" s="6" t="s">
        <v>20</v>
      </c>
      <c r="F65" s="6">
        <v>0</v>
      </c>
      <c r="G65" s="6">
        <v>0</v>
      </c>
      <c r="H65" s="6">
        <v>0</v>
      </c>
      <c r="I65" s="6">
        <v>9</v>
      </c>
      <c r="J65" s="6">
        <v>50</v>
      </c>
      <c r="K65" s="6">
        <v>50</v>
      </c>
      <c r="L65" s="8">
        <v>3</v>
      </c>
    </row>
    <row r="66" spans="2:12" x14ac:dyDescent="0.3">
      <c r="B66" s="34" t="s">
        <v>9</v>
      </c>
      <c r="C66" s="34"/>
      <c r="D66" s="34"/>
      <c r="E66" s="34"/>
      <c r="F66" s="34"/>
      <c r="G66" s="34"/>
      <c r="H66" s="34"/>
      <c r="I66" s="34"/>
      <c r="J66" s="34"/>
      <c r="K66" s="34"/>
      <c r="L66" s="8">
        <f>SUM(L61:L65)</f>
        <v>21</v>
      </c>
    </row>
  </sheetData>
  <mergeCells count="18">
    <mergeCell ref="B66:K66"/>
    <mergeCell ref="B29:L29"/>
    <mergeCell ref="B42:K42"/>
    <mergeCell ref="B44:L44"/>
    <mergeCell ref="B57:K57"/>
    <mergeCell ref="B59:L59"/>
    <mergeCell ref="B1:L1"/>
    <mergeCell ref="B2:L2"/>
    <mergeCell ref="B3:L3"/>
    <mergeCell ref="B13:L13"/>
    <mergeCell ref="B27:K27"/>
    <mergeCell ref="B11:D11"/>
    <mergeCell ref="B12:D12"/>
    <mergeCell ref="B7:C7"/>
    <mergeCell ref="B5:C5"/>
    <mergeCell ref="B6:C6"/>
    <mergeCell ref="B9:C9"/>
    <mergeCell ref="E9:L9"/>
  </mergeCells>
  <dataValidations count="1">
    <dataValidation type="list" allowBlank="1" showInputMessage="1" showErrorMessage="1" sqref="E65 E61:E63 E31:E41 E15:E26 E46:E56" xr:uid="{00000000-0002-0000-0000-000000000000}">
      <formula1>$S$13:$S$20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Rajani</dc:creator>
  <cp:lastModifiedBy>Murugan R</cp:lastModifiedBy>
  <dcterms:created xsi:type="dcterms:W3CDTF">2025-09-30T04:30:24Z</dcterms:created>
  <dcterms:modified xsi:type="dcterms:W3CDTF">2025-12-17T07:33:52Z</dcterms:modified>
</cp:coreProperties>
</file>